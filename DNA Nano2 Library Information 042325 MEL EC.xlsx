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/Users/ecomeau/Desktop/"/>
    </mc:Choice>
  </mc:AlternateContent>
  <xr:revisionPtr revIDLastSave="0" documentId="13_ncr:1_{D3141B5B-07BC-9044-8EE7-7D24C5AC64A6}" xr6:coauthVersionLast="47" xr6:coauthVersionMax="47" xr10:uidLastSave="{00000000-0000-0000-0000-000000000000}"/>
  <bookViews>
    <workbookView xWindow="-38400" yWindow="800" windowWidth="38400" windowHeight="21600" firstSheet="1" activeTab="1" xr2:uid="{2CDFAAA5-7476-5849-BE1A-F51700DD21AF}"/>
  </bookViews>
  <sheets>
    <sheet name="Primer information" sheetId="3" r:id="rId1"/>
    <sheet name="Barcode sequences" sheetId="4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3" l="1"/>
  <c r="G9" i="3"/>
  <c r="G7" i="3"/>
  <c r="G5" i="3"/>
  <c r="G4" i="3"/>
  <c r="G10" i="3"/>
  <c r="G8" i="3"/>
  <c r="G6" i="3"/>
  <c r="G3" i="3"/>
</calcChain>
</file>

<file path=xl/sharedStrings.xml><?xml version="1.0" encoding="utf-8"?>
<sst xmlns="http://schemas.openxmlformats.org/spreadsheetml/2006/main" count="158" uniqueCount="106">
  <si>
    <t>DNA Nano2</t>
  </si>
  <si>
    <t>Sample</t>
  </si>
  <si>
    <t>Region</t>
  </si>
  <si>
    <t>Final product size</t>
  </si>
  <si>
    <t>Forward primer name</t>
  </si>
  <si>
    <t>Forward primer sequence</t>
  </si>
  <si>
    <t>Reverse primer name</t>
  </si>
  <si>
    <t>Reverse primer sequence</t>
  </si>
  <si>
    <t>cDNA primer name</t>
  </si>
  <si>
    <t>cDNA primer sequence</t>
  </si>
  <si>
    <t>Barcode</t>
  </si>
  <si>
    <t>AD_207 LH</t>
  </si>
  <si>
    <t>LH</t>
  </si>
  <si>
    <t>gag763</t>
  </si>
  <si>
    <t>TGACTAGCGGAGGCTAGAAGGAGAGA</t>
  </si>
  <si>
    <t>PB-R2-alt1</t>
  </si>
  <si>
    <t>PB_A(X)_JL68Rv2</t>
  </si>
  <si>
    <t>CTTCTTCCTGCCATRKGARATGCCTAAG</t>
  </si>
  <si>
    <t>NB01</t>
  </si>
  <si>
    <t>AD_207 RH</t>
  </si>
  <si>
    <t>RH</t>
  </si>
  <si>
    <t>PolK3</t>
  </si>
  <si>
    <t>TAAARYTAGCAGGAAGATGGCCAGT</t>
  </si>
  <si>
    <t>PB_A(X)_oligodT_20</t>
  </si>
  <si>
    <t>TTTTTTTTTTTTTTTTTTTT</t>
  </si>
  <si>
    <t>NB02</t>
  </si>
  <si>
    <t>AD_555_RH</t>
  </si>
  <si>
    <t>NB03</t>
  </si>
  <si>
    <t>AD_724_LH</t>
  </si>
  <si>
    <t>NB04</t>
  </si>
  <si>
    <t>AD_715_RH</t>
  </si>
  <si>
    <t>NB05</t>
  </si>
  <si>
    <t>AD_990_LH</t>
  </si>
  <si>
    <t>NB06</t>
  </si>
  <si>
    <t>AD_990_RH</t>
  </si>
  <si>
    <t>NB07</t>
  </si>
  <si>
    <t>40100 + 40436 LH (New Percentages)</t>
  </si>
  <si>
    <t>NB08</t>
  </si>
  <si>
    <t>40100 + 40436 RH (New Percentages)</t>
  </si>
  <si>
    <t>NB09</t>
  </si>
  <si>
    <t>Component</t>
  </si>
  <si>
    <t>Forward sequence</t>
  </si>
  <si>
    <t>Reverse sequence</t>
  </si>
  <si>
    <t>CACAAAGACACCGACAACTTTCTT</t>
  </si>
  <si>
    <t>AAGAAAGTTGTCGGTGTCTTTGTG</t>
  </si>
  <si>
    <t>ACAGACGACTACAAACGGAATCGA</t>
  </si>
  <si>
    <t>TCGATTCCGTTTGTAGTCGTCTGT</t>
  </si>
  <si>
    <t>CCTGGTAACTGGGACACAAGACTC</t>
  </si>
  <si>
    <t>GAGTCTTGTGTCCCAGTTACCAGG</t>
  </si>
  <si>
    <t>TAGGGAAACACGATAGAATCCGAA</t>
  </si>
  <si>
    <t>TTCGGATTCTATCGTGTTTCCCTA</t>
  </si>
  <si>
    <t>AAGGTTACACAAACCCTGGACAAG</t>
  </si>
  <si>
    <t>CTTGTCCAGGGTTTGTGTAACCTT</t>
  </si>
  <si>
    <t>GACTACTTTCTGCCTTTGCGAGAA</t>
  </si>
  <si>
    <t>TTCTCGCAAAGGCAGAAAGTAGTC</t>
  </si>
  <si>
    <t>AAGGATTCATTCCCACGGTAACAC</t>
  </si>
  <si>
    <t>GTGTTACCGTGGGAATGAATCCTT</t>
  </si>
  <si>
    <t>ACGTAACTTGGTTTGTTCCCTGAA</t>
  </si>
  <si>
    <t>TTCAGGGAACAAACCAAGTTACGT</t>
  </si>
  <si>
    <t>AACCAAGACTCGCTGTGCCTAGTT</t>
  </si>
  <si>
    <t>AACTAGGCACAGCGAGTCTTGGTT</t>
  </si>
  <si>
    <t>NB10</t>
  </si>
  <si>
    <t>GAGAGGACAAAGGTTTCAACGCTT</t>
  </si>
  <si>
    <t>AAGCGTTGAAACCTTTGTCCTCTC</t>
  </si>
  <si>
    <t>NB11</t>
  </si>
  <si>
    <t>TCCATTCCCTCCGATAGATGAAAC</t>
  </si>
  <si>
    <t>GTTTCATCTATCGGAGGGAATGGA</t>
  </si>
  <si>
    <t>NB12</t>
  </si>
  <si>
    <t>TCCGATTCTGCTTCTTTCTACCTG</t>
  </si>
  <si>
    <t>CAGGTAGAAAGAAGCAGAATCGGA</t>
  </si>
  <si>
    <t>NB13</t>
  </si>
  <si>
    <t>AGAACGACTTCCATACTCGTGTGA</t>
  </si>
  <si>
    <t>TCACACGAGTATGGAAGTCGTTCT</t>
  </si>
  <si>
    <t>NB14</t>
  </si>
  <si>
    <t>AACGAGTCTCTTGGGACCCATAGA</t>
  </si>
  <si>
    <t>TCTATGGGTCCCAAGAGACTCGTT</t>
  </si>
  <si>
    <t>NB15</t>
  </si>
  <si>
    <t>AGGTCTACCTCGCTAACACCACTG</t>
  </si>
  <si>
    <t>CAGTGGTGTTAGCGAGGTAGACCT</t>
  </si>
  <si>
    <t>NB16</t>
  </si>
  <si>
    <t>CGTCAACTGACAGTGGTTCGTACT</t>
  </si>
  <si>
    <t>AGTACGAACCACTGTCAGTTGACG</t>
  </si>
  <si>
    <t>NB17</t>
  </si>
  <si>
    <t>ACCCTCCAGGAAAGTACCTCTGAT</t>
  </si>
  <si>
    <t>ATCAGAGGTACTTTCCTGGAGGGT</t>
  </si>
  <si>
    <t>NB18</t>
  </si>
  <si>
    <t>CCAAACCCAACAACCTAGATAGGC</t>
  </si>
  <si>
    <t>GCCTATCTAGGTTGTTGGGTTTGG</t>
  </si>
  <si>
    <t>NB19</t>
  </si>
  <si>
    <t>GTTCCTCGTGCAGTGTCAAGAGAT</t>
  </si>
  <si>
    <t>ATCTCTTGACACTGCACGAGGAAC </t>
  </si>
  <si>
    <t>NB20</t>
  </si>
  <si>
    <t>TTGCGTCCTGTTACGAGAACTCAT</t>
  </si>
  <si>
    <t>ATGAGTTCTCGTAACAGGACGCAA</t>
  </si>
  <si>
    <t>NB21</t>
  </si>
  <si>
    <t>GAGCCTCTCATTGTCCGTTCTCTA</t>
  </si>
  <si>
    <t>TAGAGAACGGACAATGAGAGGCTC</t>
  </si>
  <si>
    <t>NB22</t>
  </si>
  <si>
    <t>ACCACTGCCATGTATCAAAGTACG</t>
  </si>
  <si>
    <t>CGTACTTTGATACATGGCAGTGGT</t>
  </si>
  <si>
    <t>NB23</t>
  </si>
  <si>
    <t>CTTACTACCCAGTGAACCTCCTCG</t>
  </si>
  <si>
    <t>CGAGGAGGTTCACTGGGTAGTAAG</t>
  </si>
  <si>
    <t>NB24</t>
  </si>
  <si>
    <t>GCATAGTTCTGCATGATGGGTTAG</t>
  </si>
  <si>
    <t>CTAACCCATCATGCAGAACTATGC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</si>
</sst>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Display"/>
      <family val="1"/>
      <scheme val="major"/>
    </font>
    <font>
      <sz val="12"/>
      <name val="Aptos Display"/>
      <family val="1"/>
      <scheme val="major"/>
    </font>
    <font>
      <b/>
      <sz val="12"/>
      <color theme="1"/>
      <name val="Aptos Display"/>
      <scheme val="major"/>
    </font>
    <font>
      <sz val="12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0" xfId="0" applyFont="1"/>
    <xf numFmtId="2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2" fontId="4" fillId="0" borderId="0" xfId="0" applyNumberFormat="1" applyFont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/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AE8431A8-710E-9C47-9B32-FCD82DEDB0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enryjacksonfoundation-my.sharepoint.com/Volumes/VGS-SSC/VGS-SSC/VGS/Deep%20Sequencing/PacBio/Library%20Information/LEO_55/PrimerDetailsXL_LEO55_MEL.EC_021125.xlsx" TargetMode="External"/><Relationship Id="rId1" Type="http://schemas.openxmlformats.org/officeDocument/2006/relationships/externalLinkPath" Target="/Volumes/VGS-SSC/VGS-SSC/VGS/Deep%20Sequencing/PacBio/Library%20Information/LEO_55/PrimerDetailsXL_LEO55_MEL.EC_0211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O#"/>
      <sheetName val="FWD_PRIMERS"/>
      <sheetName val="REV_PRIMERS"/>
      <sheetName val="BARCODES"/>
      <sheetName val="Sheet1"/>
    </sheetNames>
    <sheetDataSet>
      <sheetData sheetId="0"/>
      <sheetData sheetId="1"/>
      <sheetData sheetId="2">
        <row r="3">
          <cell r="A3" t="str">
            <v>PB-R2-alt1</v>
          </cell>
          <cell r="B3" t="str">
            <v>CCGCTCCGTCCGACGACTCACTATA</v>
          </cell>
        </row>
        <row r="4">
          <cell r="A4"/>
          <cell r="B4"/>
        </row>
        <row r="5">
          <cell r="A5"/>
          <cell r="B5">
            <v>25</v>
          </cell>
        </row>
        <row r="6">
          <cell r="A6"/>
          <cell r="B6"/>
        </row>
        <row r="7">
          <cell r="A7"/>
          <cell r="B7"/>
        </row>
        <row r="8">
          <cell r="A8"/>
          <cell r="B8"/>
        </row>
        <row r="9">
          <cell r="A9"/>
          <cell r="B9"/>
        </row>
        <row r="10">
          <cell r="A10"/>
          <cell r="B10"/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19C0-FE52-2B43-90FF-77C56CE65280}">
  <dimension ref="A1:J17"/>
  <sheetViews>
    <sheetView zoomScale="140" zoomScaleNormal="140" workbookViewId="0">
      <selection activeCell="C10" sqref="C10"/>
    </sheetView>
  </sheetViews>
  <sheetFormatPr defaultColWidth="11" defaultRowHeight="15.95"/>
  <cols>
    <col min="1" max="1" width="34" bestFit="1" customWidth="1"/>
    <col min="2" max="2" width="12.375" customWidth="1"/>
    <col min="3" max="3" width="16.5" customWidth="1"/>
    <col min="4" max="4" width="21.5" customWidth="1"/>
    <col min="5" max="5" width="36" customWidth="1"/>
    <col min="6" max="6" width="20" customWidth="1"/>
    <col min="7" max="7" width="34.875" customWidth="1"/>
    <col min="8" max="8" width="20.125" customWidth="1"/>
    <col min="9" max="9" width="35.5" customWidth="1"/>
  </cols>
  <sheetData>
    <row r="1" spans="1:10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s="1" customForma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 t="s">
        <v>11</v>
      </c>
      <c r="B3" s="5" t="s">
        <v>12</v>
      </c>
      <c r="C3" s="5">
        <v>5300</v>
      </c>
      <c r="D3" s="3" t="s">
        <v>13</v>
      </c>
      <c r="E3" s="3" t="s">
        <v>14</v>
      </c>
      <c r="F3" s="3" t="s">
        <v>15</v>
      </c>
      <c r="G3" s="3" t="str">
        <f>VLOOKUP(F3,[1]REV_PRIMERS!$A$3:$B$10,2,FALSE)</f>
        <v>CCGCTCCGTCCGACGACTCACTATA</v>
      </c>
      <c r="H3" s="3" t="s">
        <v>16</v>
      </c>
      <c r="I3" s="3" t="s">
        <v>17</v>
      </c>
      <c r="J3" s="2" t="s">
        <v>18</v>
      </c>
    </row>
    <row r="4" spans="1:10">
      <c r="A4" s="5" t="s">
        <v>19</v>
      </c>
      <c r="B4" s="5" t="s">
        <v>20</v>
      </c>
      <c r="C4" s="5">
        <v>5300</v>
      </c>
      <c r="D4" s="3" t="s">
        <v>21</v>
      </c>
      <c r="E4" s="3" t="s">
        <v>22</v>
      </c>
      <c r="F4" s="3" t="s">
        <v>15</v>
      </c>
      <c r="G4" s="3" t="str">
        <f>VLOOKUP(F4,[1]REV_PRIMERS!$A$3:$B$10,2,FALSE)</f>
        <v>CCGCTCCGTCCGACGACTCACTATA</v>
      </c>
      <c r="H4" s="3" t="s">
        <v>23</v>
      </c>
      <c r="I4" s="3" t="s">
        <v>24</v>
      </c>
      <c r="J4" s="2" t="s">
        <v>25</v>
      </c>
    </row>
    <row r="5" spans="1:10">
      <c r="A5" s="5" t="s">
        <v>26</v>
      </c>
      <c r="B5" s="5" t="s">
        <v>20</v>
      </c>
      <c r="C5" s="5">
        <v>5300</v>
      </c>
      <c r="D5" s="3" t="s">
        <v>21</v>
      </c>
      <c r="E5" s="3" t="s">
        <v>22</v>
      </c>
      <c r="F5" s="3" t="s">
        <v>15</v>
      </c>
      <c r="G5" s="3" t="str">
        <f>VLOOKUP(F5,[1]REV_PRIMERS!$A$3:$B$10,2,FALSE)</f>
        <v>CCGCTCCGTCCGACGACTCACTATA</v>
      </c>
      <c r="H5" s="3" t="s">
        <v>23</v>
      </c>
      <c r="I5" s="3" t="s">
        <v>24</v>
      </c>
      <c r="J5" s="2" t="s">
        <v>27</v>
      </c>
    </row>
    <row r="6" spans="1:10">
      <c r="A6" s="5" t="s">
        <v>28</v>
      </c>
      <c r="B6" s="5" t="s">
        <v>12</v>
      </c>
      <c r="C6" s="5">
        <v>5300</v>
      </c>
      <c r="D6" s="3" t="s">
        <v>13</v>
      </c>
      <c r="E6" s="3" t="s">
        <v>14</v>
      </c>
      <c r="F6" s="3" t="s">
        <v>15</v>
      </c>
      <c r="G6" s="3" t="str">
        <f>VLOOKUP(F6,[1]REV_PRIMERS!$A$3:$B$10,2,FALSE)</f>
        <v>CCGCTCCGTCCGACGACTCACTATA</v>
      </c>
      <c r="H6" s="3" t="s">
        <v>16</v>
      </c>
      <c r="I6" s="3" t="s">
        <v>17</v>
      </c>
      <c r="J6" s="2" t="s">
        <v>29</v>
      </c>
    </row>
    <row r="7" spans="1:10">
      <c r="A7" s="5" t="s">
        <v>30</v>
      </c>
      <c r="B7" s="5" t="s">
        <v>20</v>
      </c>
      <c r="C7" s="5">
        <v>5300</v>
      </c>
      <c r="D7" s="3" t="s">
        <v>21</v>
      </c>
      <c r="E7" s="3" t="s">
        <v>22</v>
      </c>
      <c r="F7" s="3" t="s">
        <v>15</v>
      </c>
      <c r="G7" s="3" t="str">
        <f>VLOOKUP(F7,[1]REV_PRIMERS!$A$3:$B$10,2,FALSE)</f>
        <v>CCGCTCCGTCCGACGACTCACTATA</v>
      </c>
      <c r="H7" s="3" t="s">
        <v>23</v>
      </c>
      <c r="I7" s="3" t="s">
        <v>24</v>
      </c>
      <c r="J7" s="2" t="s">
        <v>31</v>
      </c>
    </row>
    <row r="8" spans="1:10">
      <c r="A8" s="5" t="s">
        <v>32</v>
      </c>
      <c r="B8" s="5" t="s">
        <v>12</v>
      </c>
      <c r="C8" s="5">
        <v>5300</v>
      </c>
      <c r="D8" s="3" t="s">
        <v>13</v>
      </c>
      <c r="E8" s="3" t="s">
        <v>14</v>
      </c>
      <c r="F8" s="3" t="s">
        <v>15</v>
      </c>
      <c r="G8" s="3" t="str">
        <f>VLOOKUP(F8,[1]REV_PRIMERS!$A$3:$B$10,2,FALSE)</f>
        <v>CCGCTCCGTCCGACGACTCACTATA</v>
      </c>
      <c r="H8" s="3" t="s">
        <v>16</v>
      </c>
      <c r="I8" s="3" t="s">
        <v>17</v>
      </c>
      <c r="J8" s="2" t="s">
        <v>33</v>
      </c>
    </row>
    <row r="9" spans="1:10">
      <c r="A9" s="5" t="s">
        <v>34</v>
      </c>
      <c r="B9" s="5" t="s">
        <v>20</v>
      </c>
      <c r="C9" s="5">
        <v>5300</v>
      </c>
      <c r="D9" s="3" t="s">
        <v>21</v>
      </c>
      <c r="E9" s="3" t="s">
        <v>22</v>
      </c>
      <c r="F9" s="3" t="s">
        <v>15</v>
      </c>
      <c r="G9" s="3" t="str">
        <f>VLOOKUP(F9,[1]REV_PRIMERS!$A$3:$B$10,2,FALSE)</f>
        <v>CCGCTCCGTCCGACGACTCACTATA</v>
      </c>
      <c r="H9" s="3" t="s">
        <v>23</v>
      </c>
      <c r="I9" s="3" t="s">
        <v>24</v>
      </c>
      <c r="J9" s="2" t="s">
        <v>35</v>
      </c>
    </row>
    <row r="10" spans="1:10">
      <c r="A10" s="5" t="s">
        <v>36</v>
      </c>
      <c r="B10" s="5" t="s">
        <v>12</v>
      </c>
      <c r="C10" s="5">
        <v>5300</v>
      </c>
      <c r="D10" s="3" t="s">
        <v>13</v>
      </c>
      <c r="E10" s="3" t="s">
        <v>14</v>
      </c>
      <c r="F10" s="3" t="s">
        <v>15</v>
      </c>
      <c r="G10" s="3" t="str">
        <f>VLOOKUP(F10,[1]REV_PRIMERS!$A$3:$B$10,2,FALSE)</f>
        <v>CCGCTCCGTCCGACGACTCACTATA</v>
      </c>
      <c r="H10" s="3" t="s">
        <v>16</v>
      </c>
      <c r="I10" s="3" t="s">
        <v>17</v>
      </c>
      <c r="J10" s="2" t="s">
        <v>37</v>
      </c>
    </row>
    <row r="11" spans="1:10">
      <c r="A11" s="5" t="s">
        <v>38</v>
      </c>
      <c r="B11" s="5" t="s">
        <v>20</v>
      </c>
      <c r="C11" s="5">
        <v>5300</v>
      </c>
      <c r="D11" s="3" t="s">
        <v>21</v>
      </c>
      <c r="E11" s="3" t="s">
        <v>22</v>
      </c>
      <c r="F11" s="3" t="s">
        <v>15</v>
      </c>
      <c r="G11" s="3" t="str">
        <f>VLOOKUP(F11,[1]REV_PRIMERS!$A$3:$B$10,2,FALSE)</f>
        <v>CCGCTCCGTCCGACGACTCACTATA</v>
      </c>
      <c r="H11" s="3" t="s">
        <v>23</v>
      </c>
      <c r="I11" s="3" t="s">
        <v>24</v>
      </c>
      <c r="J11" s="2" t="s">
        <v>39</v>
      </c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7"/>
    </row>
    <row r="13" spans="1:10">
      <c r="A13" s="6"/>
      <c r="B13" s="6"/>
      <c r="C13" s="6"/>
      <c r="D13" s="6"/>
      <c r="E13" s="6"/>
      <c r="F13" s="6"/>
      <c r="G13" s="6"/>
      <c r="H13" s="6"/>
      <c r="I13" s="6"/>
      <c r="J13" s="7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7"/>
    </row>
    <row r="16" spans="1:10">
      <c r="B16" s="6"/>
      <c r="C16" s="6"/>
      <c r="D16" s="6"/>
      <c r="E16" s="6"/>
      <c r="F16" s="6"/>
      <c r="G16" s="6"/>
      <c r="H16" s="6"/>
      <c r="I16" s="6"/>
    </row>
    <row r="17" spans="2:9">
      <c r="B17" s="6"/>
      <c r="C17" s="6"/>
      <c r="D17" s="6"/>
      <c r="E17" s="6"/>
      <c r="F17" s="6"/>
      <c r="G17" s="6"/>
      <c r="H17" s="6"/>
      <c r="I17" s="6"/>
    </row>
  </sheetData>
  <mergeCells count="1">
    <mergeCell ref="A1:J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C234-BA06-804E-B9F3-D46192082F6F}">
  <dimension ref="A1:C25"/>
  <sheetViews>
    <sheetView tabSelected="1" zoomScale="110" zoomScaleNormal="110" workbookViewId="0">
      <selection activeCell="G9" sqref="G9"/>
    </sheetView>
  </sheetViews>
  <sheetFormatPr defaultColWidth="11" defaultRowHeight="15.95"/>
  <cols>
    <col min="1" max="1" width="15.5" customWidth="1"/>
    <col min="2" max="2" width="34.875" customWidth="1"/>
    <col min="3" max="3" width="33" customWidth="1"/>
  </cols>
  <sheetData>
    <row r="1" spans="1:3">
      <c r="A1" s="8" t="s">
        <v>40</v>
      </c>
      <c r="B1" s="8" t="s">
        <v>41</v>
      </c>
      <c r="C1" s="8" t="s">
        <v>42</v>
      </c>
    </row>
    <row r="2" spans="1:3">
      <c r="A2" s="9" t="s">
        <v>18</v>
      </c>
      <c r="B2" s="9" t="s">
        <v>43</v>
      </c>
      <c r="C2" s="9" t="s">
        <v>44</v>
      </c>
    </row>
    <row r="3" spans="1:3">
      <c r="A3" s="9" t="s">
        <v>25</v>
      </c>
      <c r="B3" s="9" t="s">
        <v>45</v>
      </c>
      <c r="C3" s="9" t="s">
        <v>46</v>
      </c>
    </row>
    <row r="4" spans="1:3">
      <c r="A4" s="9" t="s">
        <v>27</v>
      </c>
      <c r="B4" s="9" t="s">
        <v>47</v>
      </c>
      <c r="C4" s="9" t="s">
        <v>48</v>
      </c>
    </row>
    <row r="5" spans="1:3">
      <c r="A5" s="9" t="s">
        <v>29</v>
      </c>
      <c r="B5" s="9" t="s">
        <v>49</v>
      </c>
      <c r="C5" s="9" t="s">
        <v>50</v>
      </c>
    </row>
    <row r="6" spans="1:3">
      <c r="A6" s="9" t="s">
        <v>31</v>
      </c>
      <c r="B6" s="9" t="s">
        <v>51</v>
      </c>
      <c r="C6" s="9" t="s">
        <v>52</v>
      </c>
    </row>
    <row r="7" spans="1:3">
      <c r="A7" s="9" t="s">
        <v>33</v>
      </c>
      <c r="B7" s="9" t="s">
        <v>53</v>
      </c>
      <c r="C7" s="9" t="s">
        <v>54</v>
      </c>
    </row>
    <row r="8" spans="1:3">
      <c r="A8" s="9" t="s">
        <v>35</v>
      </c>
      <c r="B8" s="9" t="s">
        <v>55</v>
      </c>
      <c r="C8" s="9" t="s">
        <v>56</v>
      </c>
    </row>
    <row r="9" spans="1:3">
      <c r="A9" s="9" t="s">
        <v>37</v>
      </c>
      <c r="B9" s="9" t="s">
        <v>57</v>
      </c>
      <c r="C9" s="9" t="s">
        <v>58</v>
      </c>
    </row>
    <row r="10" spans="1:3">
      <c r="A10" s="9" t="s">
        <v>39</v>
      </c>
      <c r="B10" s="9" t="s">
        <v>59</v>
      </c>
      <c r="C10" s="9" t="s">
        <v>60</v>
      </c>
    </row>
    <row r="11" spans="1:3">
      <c r="A11" s="9" t="s">
        <v>61</v>
      </c>
      <c r="B11" s="9" t="s">
        <v>62</v>
      </c>
      <c r="C11" s="9" t="s">
        <v>63</v>
      </c>
    </row>
    <row r="12" spans="1:3">
      <c r="A12" s="9" t="s">
        <v>64</v>
      </c>
      <c r="B12" s="9" t="s">
        <v>65</v>
      </c>
      <c r="C12" s="9" t="s">
        <v>66</v>
      </c>
    </row>
    <row r="13" spans="1:3">
      <c r="A13" s="9" t="s">
        <v>67</v>
      </c>
      <c r="B13" s="9" t="s">
        <v>68</v>
      </c>
      <c r="C13" s="9" t="s">
        <v>69</v>
      </c>
    </row>
    <row r="14" spans="1:3">
      <c r="A14" s="9" t="s">
        <v>70</v>
      </c>
      <c r="B14" s="9" t="s">
        <v>71</v>
      </c>
      <c r="C14" s="9" t="s">
        <v>72</v>
      </c>
    </row>
    <row r="15" spans="1:3">
      <c r="A15" s="9" t="s">
        <v>73</v>
      </c>
      <c r="B15" s="9" t="s">
        <v>74</v>
      </c>
      <c r="C15" s="9" t="s">
        <v>75</v>
      </c>
    </row>
    <row r="16" spans="1:3">
      <c r="A16" s="9" t="s">
        <v>76</v>
      </c>
      <c r="B16" s="9" t="s">
        <v>77</v>
      </c>
      <c r="C16" s="9" t="s">
        <v>78</v>
      </c>
    </row>
    <row r="17" spans="1:3">
      <c r="A17" s="9" t="s">
        <v>79</v>
      </c>
      <c r="B17" s="9" t="s">
        <v>80</v>
      </c>
      <c r="C17" s="9" t="s">
        <v>81</v>
      </c>
    </row>
    <row r="18" spans="1:3">
      <c r="A18" s="9" t="s">
        <v>82</v>
      </c>
      <c r="B18" s="9" t="s">
        <v>83</v>
      </c>
      <c r="C18" s="9" t="s">
        <v>84</v>
      </c>
    </row>
    <row r="19" spans="1:3">
      <c r="A19" s="9" t="s">
        <v>85</v>
      </c>
      <c r="B19" s="9" t="s">
        <v>86</v>
      </c>
      <c r="C19" s="9" t="s">
        <v>87</v>
      </c>
    </row>
    <row r="20" spans="1:3">
      <c r="A20" s="9" t="s">
        <v>88</v>
      </c>
      <c r="B20" s="9" t="s">
        <v>89</v>
      </c>
      <c r="C20" s="9" t="s">
        <v>90</v>
      </c>
    </row>
    <row r="21" spans="1:3">
      <c r="A21" s="9" t="s">
        <v>91</v>
      </c>
      <c r="B21" s="9" t="s">
        <v>92</v>
      </c>
      <c r="C21" s="9" t="s">
        <v>93</v>
      </c>
    </row>
    <row r="22" spans="1:3">
      <c r="A22" s="9" t="s">
        <v>94</v>
      </c>
      <c r="B22" s="9" t="s">
        <v>95</v>
      </c>
      <c r="C22" s="9" t="s">
        <v>96</v>
      </c>
    </row>
    <row r="23" spans="1:3">
      <c r="A23" s="9" t="s">
        <v>97</v>
      </c>
      <c r="B23" s="9" t="s">
        <v>98</v>
      </c>
      <c r="C23" s="9" t="s">
        <v>99</v>
      </c>
    </row>
    <row r="24" spans="1:3">
      <c r="A24" s="9" t="s">
        <v>100</v>
      </c>
      <c r="B24" s="9" t="s">
        <v>101</v>
      </c>
      <c r="C24" s="9" t="s">
        <v>102</v>
      </c>
    </row>
    <row r="25" spans="1:3">
      <c r="A25" s="9" t="s">
        <v>103</v>
      </c>
      <c r="B25" s="9" t="s">
        <v>104</v>
      </c>
      <c r="C25" s="9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Lind</dc:creator>
  <cp:keywords/>
  <dc:description/>
  <cp:lastModifiedBy>Morgan Geniviva</cp:lastModifiedBy>
  <cp:revision/>
  <dcterms:created xsi:type="dcterms:W3CDTF">2024-09-30T18:47:49Z</dcterms:created>
  <dcterms:modified xsi:type="dcterms:W3CDTF">2025-10-21T17:12:34Z</dcterms:modified>
  <cp:category/>
  <cp:contentStatus/>
</cp:coreProperties>
</file>